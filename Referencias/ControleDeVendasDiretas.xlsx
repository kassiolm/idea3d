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Itens" sheetId="1" r:id="rId5"/>
    <sheet state="visible" name="Página1" sheetId="2" r:id="rId6"/>
    <sheet state="visible" name="Cores" sheetId="3" r:id="rId7"/>
  </sheets>
  <definedNames/>
  <calcPr/>
</workbook>
</file>

<file path=xl/sharedStrings.xml><?xml version="1.0" encoding="utf-8"?>
<sst xmlns="http://schemas.openxmlformats.org/spreadsheetml/2006/main" count="69" uniqueCount="55">
  <si>
    <t>Resumo</t>
  </si>
  <si>
    <t>Controle de Itens de Venda</t>
  </si>
  <si>
    <t>Total de produtos</t>
  </si>
  <si>
    <t>SKU gerado automaticamente: iniciais do produto + nº modelo + código de cor  →  ex: SKU-GB01BK</t>
  </si>
  <si>
    <t>Qtd. fornecida total</t>
  </si>
  <si>
    <t>Qtd. vendida total</t>
  </si>
  <si>
    <t>SKU</t>
  </si>
  <si>
    <t>Nome do Produto</t>
  </si>
  <si>
    <t>Nº Modelo</t>
  </si>
  <si>
    <t>Cor</t>
  </si>
  <si>
    <t>Valor (R$)</t>
  </si>
  <si>
    <t>Qtd. Fornecida (Pct)</t>
  </si>
  <si>
    <t>Qtd. Vendida</t>
  </si>
  <si>
    <t>Saldo em estoque</t>
  </si>
  <si>
    <t>Gancho Box</t>
  </si>
  <si>
    <t>Branca</t>
  </si>
  <si>
    <t>Valor total estoque</t>
  </si>
  <si>
    <t>Preta</t>
  </si>
  <si>
    <t>Abridor Garrafas</t>
  </si>
  <si>
    <t>Amarela</t>
  </si>
  <si>
    <t>Suporte Deslisante</t>
  </si>
  <si>
    <t>Verde</t>
  </si>
  <si>
    <t>Cabide Gravidade</t>
  </si>
  <si>
    <t>Sporte Celular Coração</t>
  </si>
  <si>
    <t>Vermelha</t>
  </si>
  <si>
    <t>Bandeja Porta Joias</t>
  </si>
  <si>
    <t>Bege</t>
  </si>
  <si>
    <t>Ovo de Dragão</t>
  </si>
  <si>
    <t>Caixa Grande SILK</t>
  </si>
  <si>
    <t>Cor (nome)</t>
  </si>
  <si>
    <t>Código</t>
  </si>
  <si>
    <t>BK</t>
  </si>
  <si>
    <t>WH</t>
  </si>
  <si>
    <t>RD</t>
  </si>
  <si>
    <t>Azul</t>
  </si>
  <si>
    <t>BL</t>
  </si>
  <si>
    <t>GN</t>
  </si>
  <si>
    <t>YL</t>
  </si>
  <si>
    <t>Rosa</t>
  </si>
  <si>
    <t>PK</t>
  </si>
  <si>
    <t>Cinza</t>
  </si>
  <si>
    <t>GY</t>
  </si>
  <si>
    <t>Laranja</t>
  </si>
  <si>
    <t>OR</t>
  </si>
  <si>
    <t>Marrom</t>
  </si>
  <si>
    <t>BR</t>
  </si>
  <si>
    <t>BG</t>
  </si>
  <si>
    <t>Roxa</t>
  </si>
  <si>
    <t>PL</t>
  </si>
  <si>
    <t>Prata</t>
  </si>
  <si>
    <t>SL</t>
  </si>
  <si>
    <t>Dourada</t>
  </si>
  <si>
    <t>GD</t>
  </si>
  <si>
    <t>Transparente</t>
  </si>
  <si>
    <t>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</si>
</sst>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rgb="FF1F1F1F"/>
      <name val="Calibri"/>
    </font>
    <font>
      <sz val="11.0"/>
      <color theme="1"/>
      <name val="Calibri"/>
    </font>
    <font>
      <i/>
      <sz val="10.0"/>
      <color rgb="FF555555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3" numFmtId="3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center" vertical="center"/>
    </xf>
    <xf borderId="2" fillId="2" fontId="5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Controle de Itens-style">
      <tableStyleElement dxfId="1" type="headerRow"/>
      <tableStyleElement dxfId="2" type="firstRowStripe"/>
      <tableStyleElement dxfId="3" type="secondRowStripe"/>
    </tableStyle>
    <tableStyle count="3" pivot="0" name="C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H106" displayName="Table_1" name="Table_1" id="1">
  <tableColumns count="7">
    <tableColumn name="SKU" id="1"/>
    <tableColumn name="Nome do Produto" id="2"/>
    <tableColumn name="Nº Modelo" id="3"/>
    <tableColumn name="Cor" id="4"/>
    <tableColumn name="Valor (R$)" id="5"/>
    <tableColumn name="Qtd. Fornecida (Pct)" id="6"/>
    <tableColumn name="Qtd. Vendida" id="7"/>
  </tableColumns>
  <tableStyleInfo name="Controle de Itens-style" showColumnStripes="0" showFirstColumn="1" showLastColumn="1" showRowStripes="1"/>
</table>
</file>

<file path=xl/tables/table2.xml><?xml version="1.0" encoding="utf-8"?>
<table xmlns="http://schemas.openxmlformats.org/spreadsheetml/2006/main" ref="A1:B16" displayName="Table_2" name="Table_2" id="2">
  <tableColumns count="2">
    <tableColumn name="Cor (nome)" id="1"/>
    <tableColumn name="Código" id="2"/>
  </tableColumns>
  <tableStyleInfo name="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24.0"/>
    <col customWidth="1" min="4" max="4" width="12.0"/>
    <col customWidth="1" min="5" max="5" width="16.0"/>
    <col customWidth="1" min="6" max="6" width="14.0"/>
    <col customWidth="1" min="7" max="7" width="21.14"/>
    <col customWidth="1" min="8" max="8" width="16.0"/>
    <col customWidth="1" min="9" max="9" width="3.0"/>
    <col customWidth="1" min="10" max="10" width="22.0"/>
    <col customWidth="1" min="11" max="11" width="16.0"/>
    <col customWidth="1" min="12" max="26" width="8.71"/>
  </cols>
  <sheetData>
    <row r="1">
      <c r="J1" s="1" t="s">
        <v>0</v>
      </c>
    </row>
    <row r="2" ht="24.0" customHeight="1">
      <c r="B2" s="2" t="s">
        <v>1</v>
      </c>
      <c r="J2" s="3" t="s">
        <v>2</v>
      </c>
      <c r="K2" s="4">
        <f>COUNTA(C6:C106)</f>
        <v>11</v>
      </c>
    </row>
    <row r="3" ht="18.0" customHeight="1">
      <c r="B3" s="5" t="s">
        <v>3</v>
      </c>
      <c r="J3" s="3" t="s">
        <v>4</v>
      </c>
      <c r="K3" s="6">
        <f>SUM(G6:G106)</f>
        <v>14</v>
      </c>
    </row>
    <row r="4">
      <c r="J4" s="3" t="s">
        <v>5</v>
      </c>
      <c r="K4" s="6">
        <f>SUM(H6:H106)</f>
        <v>2</v>
      </c>
    </row>
    <row r="5" ht="21.75" customHeight="1"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8" t="s">
        <v>11</v>
      </c>
      <c r="H5" s="7" t="s">
        <v>12</v>
      </c>
      <c r="J5" s="3" t="s">
        <v>13</v>
      </c>
      <c r="K5" s="6">
        <f>SUM(G6:G106)-SUM(H6:H106)</f>
        <v>12</v>
      </c>
    </row>
    <row r="6">
      <c r="B6" s="9" t="str">
        <f>IF(OR(C6="",D6="",E6=""),"","SKU-"&amp;UPPER(LEFT(C6,1)&amp;IF(ISNUMBER(FIND(" ",C6)),MID(C6,FIND(" ",C6)+1,1),""))&amp;TEXT(D6,"00")&amp;IFERROR(VLOOKUP(E6,Cores!$A:$B,2,0),"??"))</f>
        <v>SKU-GB01WH</v>
      </c>
      <c r="C6" s="10" t="s">
        <v>14</v>
      </c>
      <c r="D6" s="11">
        <v>1.0</v>
      </c>
      <c r="E6" s="10" t="s">
        <v>15</v>
      </c>
      <c r="F6" s="12">
        <v>20.0</v>
      </c>
      <c r="G6" s="13">
        <v>2.0</v>
      </c>
      <c r="H6" s="13">
        <v>1.0</v>
      </c>
      <c r="J6" s="3" t="s">
        <v>16</v>
      </c>
      <c r="K6" s="14">
        <f>SUMPRODUCT(F6:F106,G6:G106)</f>
        <v>315</v>
      </c>
    </row>
    <row r="7">
      <c r="B7" s="9" t="str">
        <f>IF(OR(C7="",D7="",E7=""),"","SKU-"&amp;UPPER(LEFT(C7,1)&amp;IF(ISNUMBER(FIND(" ",C7)),MID(C7,FIND(" ",C7)+1,1),""))&amp;TEXT(D7,"00")&amp;IFERROR(VLOOKUP(E7,Cores!$A:$B,2,0),"??"))</f>
        <v>SKU-GB01BK</v>
      </c>
      <c r="C7" s="10" t="s">
        <v>14</v>
      </c>
      <c r="D7" s="11">
        <v>1.0</v>
      </c>
      <c r="E7" s="10" t="s">
        <v>17</v>
      </c>
      <c r="F7" s="12">
        <v>20.0</v>
      </c>
      <c r="G7" s="13">
        <v>2.0</v>
      </c>
      <c r="H7" s="15"/>
    </row>
    <row r="8">
      <c r="B8" s="9" t="str">
        <f>IF(OR(C8="",D8="",E8=""),"","SKU-"&amp;UPPER(LEFT(C8,1)&amp;IF(ISNUMBER(FIND(" ",C8)),MID(C8,FIND(" ",C8)+1,1),""))&amp;TEXT(D8,"00")&amp;IFERROR(VLOOKUP(E8,Cores!$A:$B,2,0),"??"))</f>
        <v>SKU-AG01YL</v>
      </c>
      <c r="C8" s="10" t="s">
        <v>18</v>
      </c>
      <c r="D8" s="11">
        <v>1.0</v>
      </c>
      <c r="E8" s="10" t="s">
        <v>19</v>
      </c>
      <c r="F8" s="12">
        <v>15.0</v>
      </c>
      <c r="G8" s="13">
        <v>1.0</v>
      </c>
      <c r="H8" s="15"/>
    </row>
    <row r="9">
      <c r="B9" s="9" t="str">
        <f>IF(OR(C9="",D9="",E9=""),"","SKU-"&amp;UPPER(LEFT(C9,1)&amp;IF(ISNUMBER(FIND(" ",C9)),MID(C9,FIND(" ",C9)+1,1),""))&amp;TEXT(D9,"00")&amp;IFERROR(VLOOKUP(E9,Cores!$A:$B,2,0),"??"))</f>
        <v>SKU-AG01WH</v>
      </c>
      <c r="C9" s="10" t="s">
        <v>18</v>
      </c>
      <c r="D9" s="11">
        <v>1.0</v>
      </c>
      <c r="E9" s="10" t="s">
        <v>15</v>
      </c>
      <c r="F9" s="12">
        <v>15.0</v>
      </c>
      <c r="G9" s="13">
        <v>1.0</v>
      </c>
      <c r="H9" s="13">
        <v>1.0</v>
      </c>
    </row>
    <row r="10">
      <c r="B10" s="9" t="str">
        <f>IF(OR(C10="",D10="",E10=""),"","SKU-"&amp;UPPER(LEFT(C10,1)&amp;IF(ISNUMBER(FIND(" ",C10)),MID(C10,FIND(" ",C10)+1,1),""))&amp;TEXT(D10,"00")&amp;IFERROR(VLOOKUP(E10,Cores!$A:$B,2,0),"??"))</f>
        <v>SKU-SD01GN</v>
      </c>
      <c r="C10" s="10" t="s">
        <v>20</v>
      </c>
      <c r="D10" s="11">
        <v>1.0</v>
      </c>
      <c r="E10" s="10" t="s">
        <v>21</v>
      </c>
      <c r="F10" s="12">
        <v>15.0</v>
      </c>
      <c r="G10" s="13">
        <v>2.0</v>
      </c>
      <c r="H10" s="15"/>
    </row>
    <row r="11">
      <c r="B11" s="9" t="str">
        <f>IF(OR(C11="",D11="",E11=""),"","SKU-"&amp;UPPER(LEFT(C11,1)&amp;IF(ISNUMBER(FIND(" ",C11)),MID(C11,FIND(" ",C11)+1,1),""))&amp;TEXT(D11,"00")&amp;IFERROR(VLOOKUP(E11,Cores!$A:$B,2,0),"??"))</f>
        <v>SKU-CG01BK</v>
      </c>
      <c r="C11" s="10" t="s">
        <v>22</v>
      </c>
      <c r="D11" s="11">
        <v>1.0</v>
      </c>
      <c r="E11" s="10" t="s">
        <v>17</v>
      </c>
      <c r="F11" s="12">
        <v>30.0</v>
      </c>
      <c r="G11" s="13">
        <v>2.0</v>
      </c>
      <c r="H11" s="15"/>
    </row>
    <row r="12">
      <c r="B12" s="9" t="str">
        <f>IF(OR(C12="",D12="",E12=""),"","SKU-"&amp;UPPER(LEFT(C12,1)&amp;IF(ISNUMBER(FIND(" ",C12)),MID(C12,FIND(" ",C12)+1,1),""))&amp;TEXT(D12,"00")&amp;IFERROR(VLOOKUP(E12,Cores!$A:$B,2,0),"??"))</f>
        <v>SKU-CG01WH</v>
      </c>
      <c r="C12" s="10" t="s">
        <v>22</v>
      </c>
      <c r="D12" s="11">
        <v>1.0</v>
      </c>
      <c r="E12" s="10" t="s">
        <v>15</v>
      </c>
      <c r="F12" s="12">
        <v>30.0</v>
      </c>
      <c r="G12" s="13">
        <v>1.0</v>
      </c>
      <c r="H12" s="15"/>
    </row>
    <row r="13">
      <c r="B13" s="9" t="str">
        <f>IF(OR(C13="",D13="",E13=""),"","SKU-"&amp;UPPER(LEFT(C13,1)&amp;IF(ISNUMBER(FIND(" ",C13)),MID(C13,FIND(" ",C13)+1,1),""))&amp;TEXT(D13,"00")&amp;IFERROR(VLOOKUP(E13,Cores!$A:$B,2,0),"??"))</f>
        <v>SKU-SC01RD</v>
      </c>
      <c r="C13" s="10" t="s">
        <v>23</v>
      </c>
      <c r="D13" s="11">
        <v>1.0</v>
      </c>
      <c r="E13" s="10" t="s">
        <v>24</v>
      </c>
      <c r="F13" s="12">
        <v>30.0</v>
      </c>
      <c r="G13" s="13">
        <v>1.0</v>
      </c>
      <c r="H13" s="15"/>
    </row>
    <row r="14">
      <c r="B14" s="9" t="str">
        <f>IF(OR(C14="",D14="",E14=""),"","SKU-"&amp;UPPER(LEFT(C14,1)&amp;IF(ISNUMBER(FIND(" ",C14)),MID(C14,FIND(" ",C14)+1,1),""))&amp;TEXT(D14,"00")&amp;IFERROR(VLOOKUP(E14,Cores!$A:$B,2,0),"??"))</f>
        <v>SKU-BP01BG</v>
      </c>
      <c r="C14" s="10" t="s">
        <v>25</v>
      </c>
      <c r="D14" s="11">
        <v>1.0</v>
      </c>
      <c r="E14" s="10" t="s">
        <v>26</v>
      </c>
      <c r="F14" s="12">
        <v>15.0</v>
      </c>
      <c r="G14" s="13">
        <v>1.0</v>
      </c>
      <c r="H14" s="15"/>
    </row>
    <row r="15">
      <c r="B15" s="9" t="str">
        <f>IF(OR(C15="",D15="",E15=""),"","SKU-"&amp;UPPER(LEFT(C15,1)&amp;IF(ISNUMBER(FIND(" ",C15)),MID(C15,FIND(" ",C15)+1,1),""))&amp;TEXT(D15,"00")&amp;IFERROR(VLOOKUP(E15,Cores!$A:$B,2,0),"??"))</f>
        <v>SKU-OD01WH</v>
      </c>
      <c r="C15" s="10" t="s">
        <v>27</v>
      </c>
      <c r="D15" s="11">
        <v>1.0</v>
      </c>
      <c r="E15" s="10" t="s">
        <v>15</v>
      </c>
      <c r="F15" s="12">
        <v>40.0</v>
      </c>
      <c r="G15" s="13">
        <v>1.0</v>
      </c>
      <c r="H15" s="15"/>
    </row>
    <row r="16">
      <c r="B16" s="9" t="str">
        <f>IF(OR(C16="",D16="",E16=""),"","SKU-"&amp;UPPER(LEFT(C16,1)&amp;IF(ISNUMBER(FIND(" ",C16)),MID(C16,FIND(" ",C16)+1,1),""))&amp;TEXT(D16,"00")&amp;IFERROR(VLOOKUP(E16,Cores!$A:$B,2,0),"??"))</f>
        <v>SKU-CG01BK</v>
      </c>
      <c r="C16" s="10" t="s">
        <v>28</v>
      </c>
      <c r="D16" s="11">
        <v>1.0</v>
      </c>
      <c r="E16" s="10" t="s">
        <v>17</v>
      </c>
      <c r="F16" s="12">
        <v>60.0</v>
      </c>
      <c r="H16" s="15"/>
    </row>
    <row r="17">
      <c r="B17" s="9" t="str">
        <f>IF(OR(C17="",D17="",E17=""),"","SKU-"&amp;UPPER(LEFT(C17,1)&amp;IF(ISNUMBER(FIND(" ",C17)),MID(C17,FIND(" ",C17)+1,1),""))&amp;TEXT(D17,"00")&amp;IFERROR(VLOOKUP(E17,Cores!$A:$B,2,0),"??"))</f>
        <v/>
      </c>
      <c r="C17" s="16"/>
      <c r="D17" s="9"/>
      <c r="E17" s="16"/>
      <c r="F17" s="17"/>
      <c r="G17" s="15"/>
      <c r="H17" s="15"/>
    </row>
    <row r="18">
      <c r="B18" s="9" t="str">
        <f>IF(OR(C18="",D18="",E18=""),"","SKU-"&amp;UPPER(LEFT(C18,1)&amp;IF(ISNUMBER(FIND(" ",C18)),MID(C18,FIND(" ",C18)+1,1),""))&amp;TEXT(D18,"00")&amp;IFERROR(VLOOKUP(E18,Cores!$A:$B,2,0),"??"))</f>
        <v/>
      </c>
      <c r="C18" s="16"/>
      <c r="D18" s="9"/>
      <c r="E18" s="16"/>
      <c r="F18" s="17"/>
      <c r="G18" s="15"/>
      <c r="H18" s="15"/>
    </row>
    <row r="19">
      <c r="B19" s="9" t="str">
        <f>IF(OR(C19="",D19="",E19=""),"","SKU-"&amp;UPPER(LEFT(C19,1)&amp;IF(ISNUMBER(FIND(" ",C19)),MID(C19,FIND(" ",C19)+1,1),""))&amp;TEXT(D19,"00")&amp;IFERROR(VLOOKUP(E19,Cores!$A:$B,2,0),"??"))</f>
        <v/>
      </c>
      <c r="C19" s="16"/>
      <c r="D19" s="9"/>
      <c r="E19" s="16"/>
      <c r="F19" s="17"/>
      <c r="G19" s="15"/>
      <c r="H19" s="15"/>
    </row>
    <row r="20">
      <c r="B20" s="9" t="str">
        <f>IF(OR(C20="",D20="",E20=""),"","SKU-"&amp;UPPER(LEFT(C20,1)&amp;IF(ISNUMBER(FIND(" ",C20)),MID(C20,FIND(" ",C20)+1,1),""))&amp;TEXT(D20,"00")&amp;IFERROR(VLOOKUP(E20,Cores!$A:$B,2,0),"??"))</f>
        <v/>
      </c>
      <c r="C20" s="16"/>
      <c r="D20" s="9"/>
      <c r="E20" s="16"/>
      <c r="F20" s="17"/>
      <c r="G20" s="15"/>
      <c r="H20" s="15"/>
    </row>
    <row r="21">
      <c r="B21" s="9" t="str">
        <f>IF(OR(C21="",D21="",E21=""),"","SKU-"&amp;UPPER(LEFT(C21,1)&amp;IF(ISNUMBER(FIND(" ",C21)),MID(C21,FIND(" ",C21)+1,1),""))&amp;TEXT(D21,"00")&amp;IFERROR(VLOOKUP(E21,Cores!$A:$B,2,0),"??"))</f>
        <v/>
      </c>
      <c r="C21" s="16"/>
      <c r="D21" s="9"/>
      <c r="E21" s="16"/>
      <c r="F21" s="17"/>
      <c r="G21" s="15"/>
      <c r="H21" s="15"/>
    </row>
    <row r="22" ht="15.75" customHeight="1">
      <c r="B22" s="9" t="str">
        <f>IF(OR(C22="",D22="",E22=""),"","SKU-"&amp;UPPER(LEFT(C22,1)&amp;IF(ISNUMBER(FIND(" ",C22)),MID(C22,FIND(" ",C22)+1,1),""))&amp;TEXT(D22,"00")&amp;IFERROR(VLOOKUP(E22,Cores!$A:$B,2,0),"??"))</f>
        <v/>
      </c>
      <c r="C22" s="16"/>
      <c r="D22" s="9"/>
      <c r="E22" s="16"/>
      <c r="F22" s="17"/>
      <c r="G22" s="15"/>
      <c r="H22" s="15"/>
    </row>
    <row r="23" ht="15.75" customHeight="1">
      <c r="B23" s="9" t="str">
        <f>IF(OR(C23="",D23="",E23=""),"","SKU-"&amp;UPPER(LEFT(C23,1)&amp;IF(ISNUMBER(FIND(" ",C23)),MID(C23,FIND(" ",C23)+1,1),""))&amp;TEXT(D23,"00")&amp;IFERROR(VLOOKUP(E23,Cores!$A:$B,2,0),"??"))</f>
        <v/>
      </c>
      <c r="C23" s="16"/>
      <c r="D23" s="9"/>
      <c r="E23" s="16"/>
      <c r="F23" s="17"/>
      <c r="G23" s="15"/>
      <c r="H23" s="15"/>
    </row>
    <row r="24" ht="15.75" customHeight="1">
      <c r="B24" s="9" t="str">
        <f>IF(OR(C24="",D24="",E24=""),"","SKU-"&amp;UPPER(LEFT(C24,1)&amp;IF(ISNUMBER(FIND(" ",C24)),MID(C24,FIND(" ",C24)+1,1),""))&amp;TEXT(D24,"00")&amp;IFERROR(VLOOKUP(E24,Cores!$A:$B,2,0),"??"))</f>
        <v/>
      </c>
      <c r="C24" s="16"/>
      <c r="D24" s="9"/>
      <c r="E24" s="16"/>
      <c r="F24" s="17"/>
      <c r="G24" s="15"/>
      <c r="H24" s="15"/>
    </row>
    <row r="25" ht="15.75" customHeight="1">
      <c r="B25" s="9" t="str">
        <f>IF(OR(C25="",D25="",E25=""),"","SKU-"&amp;UPPER(LEFT(C25,1)&amp;IF(ISNUMBER(FIND(" ",C25)),MID(C25,FIND(" ",C25)+1,1),""))&amp;TEXT(D25,"00")&amp;IFERROR(VLOOKUP(E25,Cores!$A:$B,2,0),"??"))</f>
        <v/>
      </c>
      <c r="C25" s="16"/>
      <c r="D25" s="9"/>
      <c r="E25" s="16"/>
      <c r="F25" s="17"/>
      <c r="G25" s="15"/>
      <c r="H25" s="15"/>
    </row>
    <row r="26" ht="15.75" customHeight="1">
      <c r="B26" s="9" t="str">
        <f>IF(OR(C26="",D26="",E26=""),"","SKU-"&amp;UPPER(LEFT(C26,1)&amp;IF(ISNUMBER(FIND(" ",C26)),MID(C26,FIND(" ",C26)+1,1),""))&amp;TEXT(D26,"00")&amp;IFERROR(VLOOKUP(E26,Cores!$A:$B,2,0),"??"))</f>
        <v/>
      </c>
      <c r="C26" s="16"/>
      <c r="D26" s="9"/>
      <c r="E26" s="16"/>
      <c r="F26" s="17"/>
      <c r="G26" s="15"/>
      <c r="H26" s="15"/>
    </row>
    <row r="27" ht="15.75" customHeight="1">
      <c r="B27" s="9" t="str">
        <f>IF(OR(C27="",D27="",E27=""),"","SKU-"&amp;UPPER(LEFT(C27,1)&amp;IF(ISNUMBER(FIND(" ",C27)),MID(C27,FIND(" ",C27)+1,1),""))&amp;TEXT(D27,"00")&amp;IFERROR(VLOOKUP(E27,Cores!$A:$B,2,0),"??"))</f>
        <v/>
      </c>
      <c r="C27" s="16"/>
      <c r="D27" s="9"/>
      <c r="E27" s="16"/>
      <c r="F27" s="17"/>
      <c r="G27" s="15"/>
      <c r="H27" s="15"/>
    </row>
    <row r="28" ht="15.75" customHeight="1">
      <c r="B28" s="9" t="str">
        <f>IF(OR(C28="",D28="",E28=""),"","SKU-"&amp;UPPER(LEFT(C28,1)&amp;IF(ISNUMBER(FIND(" ",C28)),MID(C28,FIND(" ",C28)+1,1),""))&amp;TEXT(D28,"00")&amp;IFERROR(VLOOKUP(E28,Cores!$A:$B,2,0),"??"))</f>
        <v/>
      </c>
      <c r="C28" s="16"/>
      <c r="D28" s="9"/>
      <c r="E28" s="16"/>
      <c r="F28" s="17"/>
      <c r="G28" s="15"/>
      <c r="H28" s="15"/>
    </row>
    <row r="29" ht="15.75" customHeight="1">
      <c r="B29" s="9" t="str">
        <f>IF(OR(C29="",D29="",E29=""),"","SKU-"&amp;UPPER(LEFT(C29,1)&amp;IF(ISNUMBER(FIND(" ",C29)),MID(C29,FIND(" ",C29)+1,1),""))&amp;TEXT(D29,"00")&amp;IFERROR(VLOOKUP(E29,Cores!$A:$B,2,0),"??"))</f>
        <v/>
      </c>
      <c r="C29" s="16"/>
      <c r="D29" s="9"/>
      <c r="E29" s="16"/>
      <c r="F29" s="17"/>
      <c r="G29" s="15"/>
      <c r="H29" s="15"/>
    </row>
    <row r="30" ht="15.75" customHeight="1">
      <c r="B30" s="9" t="str">
        <f>IF(OR(C30="",D30="",E30=""),"","SKU-"&amp;UPPER(LEFT(C30,1)&amp;IF(ISNUMBER(FIND(" ",C30)),MID(C30,FIND(" ",C30)+1,1),""))&amp;TEXT(D30,"00")&amp;IFERROR(VLOOKUP(E30,Cores!$A:$B,2,0),"??"))</f>
        <v/>
      </c>
      <c r="C30" s="16"/>
      <c r="D30" s="9"/>
      <c r="E30" s="16"/>
      <c r="F30" s="17"/>
      <c r="G30" s="15"/>
      <c r="H30" s="15"/>
    </row>
    <row r="31" ht="15.75" customHeight="1">
      <c r="B31" s="9" t="str">
        <f>IF(OR(C31="",D31="",E31=""),"","SKU-"&amp;UPPER(LEFT(C31,1)&amp;IF(ISNUMBER(FIND(" ",C31)),MID(C31,FIND(" ",C31)+1,1),""))&amp;TEXT(D31,"00")&amp;IFERROR(VLOOKUP(E31,Cores!$A:$B,2,0),"??"))</f>
        <v/>
      </c>
      <c r="C31" s="16"/>
      <c r="D31" s="9"/>
      <c r="E31" s="16"/>
      <c r="F31" s="17"/>
      <c r="G31" s="15"/>
      <c r="H31" s="15"/>
    </row>
    <row r="32" ht="15.75" customHeight="1">
      <c r="B32" s="9" t="str">
        <f>IF(OR(C32="",D32="",E32=""),"","SKU-"&amp;UPPER(LEFT(C32,1)&amp;IF(ISNUMBER(FIND(" ",C32)),MID(C32,FIND(" ",C32)+1,1),""))&amp;TEXT(D32,"00")&amp;IFERROR(VLOOKUP(E32,Cores!$A:$B,2,0),"??"))</f>
        <v/>
      </c>
      <c r="C32" s="16"/>
      <c r="D32" s="9"/>
      <c r="E32" s="16"/>
      <c r="F32" s="17"/>
      <c r="G32" s="15"/>
      <c r="H32" s="15"/>
    </row>
    <row r="33" ht="15.75" customHeight="1">
      <c r="B33" s="9" t="str">
        <f>IF(OR(C33="",D33="",E33=""),"","SKU-"&amp;UPPER(LEFT(C33,1)&amp;IF(ISNUMBER(FIND(" ",C33)),MID(C33,FIND(" ",C33)+1,1),""))&amp;TEXT(D33,"00")&amp;IFERROR(VLOOKUP(E33,Cores!$A:$B,2,0),"??"))</f>
        <v/>
      </c>
      <c r="C33" s="16"/>
      <c r="D33" s="9"/>
      <c r="E33" s="16"/>
      <c r="F33" s="17"/>
      <c r="G33" s="15"/>
      <c r="H33" s="15"/>
    </row>
    <row r="34" ht="15.75" customHeight="1">
      <c r="B34" s="9" t="str">
        <f>IF(OR(C34="",D34="",E34=""),"","SKU-"&amp;UPPER(LEFT(C34,1)&amp;IF(ISNUMBER(FIND(" ",C34)),MID(C34,FIND(" ",C34)+1,1),""))&amp;TEXT(D34,"00")&amp;IFERROR(VLOOKUP(E34,Cores!$A:$B,2,0),"??"))</f>
        <v/>
      </c>
      <c r="C34" s="16"/>
      <c r="D34" s="9"/>
      <c r="E34" s="16"/>
      <c r="F34" s="17"/>
      <c r="G34" s="15"/>
      <c r="H34" s="15"/>
    </row>
    <row r="35" ht="15.75" customHeight="1">
      <c r="B35" s="9" t="str">
        <f>IF(OR(C35="",D35="",E35=""),"","SKU-"&amp;UPPER(LEFT(C35,1)&amp;IF(ISNUMBER(FIND(" ",C35)),MID(C35,FIND(" ",C35)+1,1),""))&amp;TEXT(D35,"00")&amp;IFERROR(VLOOKUP(E35,Cores!$A:$B,2,0),"??"))</f>
        <v/>
      </c>
      <c r="C35" s="16"/>
      <c r="D35" s="9"/>
      <c r="E35" s="16"/>
      <c r="F35" s="17"/>
      <c r="G35" s="15"/>
      <c r="H35" s="15"/>
    </row>
    <row r="36" ht="15.75" customHeight="1">
      <c r="B36" s="9" t="str">
        <f>IF(OR(C36="",D36="",E36=""),"","SKU-"&amp;UPPER(LEFT(C36,1)&amp;IF(ISNUMBER(FIND(" ",C36)),MID(C36,FIND(" ",C36)+1,1),""))&amp;TEXT(D36,"00")&amp;IFERROR(VLOOKUP(E36,Cores!$A:$B,2,0),"??"))</f>
        <v/>
      </c>
      <c r="C36" s="16"/>
      <c r="D36" s="9"/>
      <c r="E36" s="16"/>
      <c r="F36" s="17"/>
      <c r="G36" s="15"/>
      <c r="H36" s="15"/>
    </row>
    <row r="37" ht="15.75" customHeight="1">
      <c r="B37" s="9" t="str">
        <f>IF(OR(C37="",D37="",E37=""),"","SKU-"&amp;UPPER(LEFT(C37,1)&amp;IF(ISNUMBER(FIND(" ",C37)),MID(C37,FIND(" ",C37)+1,1),""))&amp;TEXT(D37,"00")&amp;IFERROR(VLOOKUP(E37,Cores!$A:$B,2,0),"??"))</f>
        <v/>
      </c>
      <c r="C37" s="16"/>
      <c r="D37" s="9"/>
      <c r="E37" s="16"/>
      <c r="F37" s="17"/>
      <c r="G37" s="15"/>
      <c r="H37" s="15"/>
    </row>
    <row r="38" ht="15.75" customHeight="1">
      <c r="B38" s="9" t="str">
        <f>IF(OR(C38="",D38="",E38=""),"","SKU-"&amp;UPPER(LEFT(C38,1)&amp;IF(ISNUMBER(FIND(" ",C38)),MID(C38,FIND(" ",C38)+1,1),""))&amp;TEXT(D38,"00")&amp;IFERROR(VLOOKUP(E38,Cores!$A:$B,2,0),"??"))</f>
        <v/>
      </c>
      <c r="C38" s="16"/>
      <c r="D38" s="9"/>
      <c r="E38" s="16"/>
      <c r="F38" s="17"/>
      <c r="G38" s="15"/>
      <c r="H38" s="15"/>
    </row>
    <row r="39" ht="15.75" customHeight="1">
      <c r="B39" s="9" t="str">
        <f>IF(OR(C39="",D39="",E39=""),"","SKU-"&amp;UPPER(LEFT(C39,1)&amp;IF(ISNUMBER(FIND(" ",C39)),MID(C39,FIND(" ",C39)+1,1),""))&amp;TEXT(D39,"00")&amp;IFERROR(VLOOKUP(E39,Cores!$A:$B,2,0),"??"))</f>
        <v/>
      </c>
      <c r="C39" s="16"/>
      <c r="D39" s="9"/>
      <c r="E39" s="16"/>
      <c r="F39" s="17"/>
      <c r="G39" s="15"/>
      <c r="H39" s="15"/>
    </row>
    <row r="40" ht="15.75" customHeight="1">
      <c r="B40" s="9" t="str">
        <f>IF(OR(C40="",D40="",E40=""),"","SKU-"&amp;UPPER(LEFT(C40,1)&amp;IF(ISNUMBER(FIND(" ",C40)),MID(C40,FIND(" ",C40)+1,1),""))&amp;TEXT(D40,"00")&amp;IFERROR(VLOOKUP(E40,Cores!$A:$B,2,0),"??"))</f>
        <v/>
      </c>
      <c r="C40" s="16"/>
      <c r="D40" s="9"/>
      <c r="E40" s="16"/>
      <c r="F40" s="17"/>
      <c r="G40" s="15"/>
      <c r="H40" s="15"/>
    </row>
    <row r="41" ht="15.75" customHeight="1">
      <c r="B41" s="9" t="str">
        <f>IF(OR(C41="",D41="",E41=""),"","SKU-"&amp;UPPER(LEFT(C41,1)&amp;IF(ISNUMBER(FIND(" ",C41)),MID(C41,FIND(" ",C41)+1,1),""))&amp;TEXT(D41,"00")&amp;IFERROR(VLOOKUP(E41,Cores!$A:$B,2,0),"??"))</f>
        <v/>
      </c>
      <c r="C41" s="16"/>
      <c r="D41" s="9"/>
      <c r="E41" s="16"/>
      <c r="F41" s="17"/>
      <c r="G41" s="15"/>
      <c r="H41" s="15"/>
    </row>
    <row r="42" ht="15.75" customHeight="1">
      <c r="B42" s="9" t="str">
        <f>IF(OR(C42="",D42="",E42=""),"","SKU-"&amp;UPPER(LEFT(C42,1)&amp;IF(ISNUMBER(FIND(" ",C42)),MID(C42,FIND(" ",C42)+1,1),""))&amp;TEXT(D42,"00")&amp;IFERROR(VLOOKUP(E42,Cores!$A:$B,2,0),"??"))</f>
        <v/>
      </c>
      <c r="C42" s="16"/>
      <c r="D42" s="9"/>
      <c r="E42" s="16"/>
      <c r="F42" s="17"/>
      <c r="G42" s="15"/>
      <c r="H42" s="15"/>
    </row>
    <row r="43" ht="15.75" customHeight="1">
      <c r="B43" s="9" t="str">
        <f>IF(OR(C43="",D43="",E43=""),"","SKU-"&amp;UPPER(LEFT(C43,1)&amp;IF(ISNUMBER(FIND(" ",C43)),MID(C43,FIND(" ",C43)+1,1),""))&amp;TEXT(D43,"00")&amp;IFERROR(VLOOKUP(E43,Cores!$A:$B,2,0),"??"))</f>
        <v/>
      </c>
      <c r="C43" s="16"/>
      <c r="D43" s="9"/>
      <c r="E43" s="16"/>
      <c r="F43" s="17"/>
      <c r="G43" s="15"/>
      <c r="H43" s="15"/>
    </row>
    <row r="44" ht="15.75" customHeight="1">
      <c r="B44" s="9" t="str">
        <f>IF(OR(C44="",D44="",E44=""),"","SKU-"&amp;UPPER(LEFT(C44,1)&amp;IF(ISNUMBER(FIND(" ",C44)),MID(C44,FIND(" ",C44)+1,1),""))&amp;TEXT(D44,"00")&amp;IFERROR(VLOOKUP(E44,Cores!$A:$B,2,0),"??"))</f>
        <v/>
      </c>
      <c r="C44" s="16"/>
      <c r="D44" s="9"/>
      <c r="E44" s="16"/>
      <c r="F44" s="17"/>
      <c r="G44" s="15"/>
      <c r="H44" s="15"/>
    </row>
    <row r="45" ht="15.75" customHeight="1">
      <c r="B45" s="9" t="str">
        <f>IF(OR(C45="",D45="",E45=""),"","SKU-"&amp;UPPER(LEFT(C45,1)&amp;IF(ISNUMBER(FIND(" ",C45)),MID(C45,FIND(" ",C45)+1,1),""))&amp;TEXT(D45,"00")&amp;IFERROR(VLOOKUP(E45,Cores!$A:$B,2,0),"??"))</f>
        <v/>
      </c>
      <c r="C45" s="16"/>
      <c r="D45" s="9"/>
      <c r="E45" s="16"/>
      <c r="F45" s="17"/>
      <c r="G45" s="15"/>
      <c r="H45" s="15"/>
    </row>
    <row r="46" ht="15.75" customHeight="1">
      <c r="B46" s="9" t="str">
        <f>IF(OR(C46="",D46="",E46=""),"","SKU-"&amp;UPPER(LEFT(C46,1)&amp;IF(ISNUMBER(FIND(" ",C46)),MID(C46,FIND(" ",C46)+1,1),""))&amp;TEXT(D46,"00")&amp;IFERROR(VLOOKUP(E46,Cores!$A:$B,2,0),"??"))</f>
        <v/>
      </c>
      <c r="C46" s="16"/>
      <c r="D46" s="9"/>
      <c r="E46" s="16"/>
      <c r="F46" s="17"/>
      <c r="G46" s="15"/>
      <c r="H46" s="15"/>
    </row>
    <row r="47" ht="15.75" customHeight="1">
      <c r="B47" s="9" t="str">
        <f>IF(OR(C47="",D47="",E47=""),"","SKU-"&amp;UPPER(LEFT(C47,1)&amp;IF(ISNUMBER(FIND(" ",C47)),MID(C47,FIND(" ",C47)+1,1),""))&amp;TEXT(D47,"00")&amp;IFERROR(VLOOKUP(E47,Cores!$A:$B,2,0),"??"))</f>
        <v/>
      </c>
      <c r="C47" s="16"/>
      <c r="D47" s="9"/>
      <c r="E47" s="16"/>
      <c r="F47" s="17"/>
      <c r="G47" s="15"/>
      <c r="H47" s="15"/>
    </row>
    <row r="48" ht="15.75" customHeight="1">
      <c r="B48" s="9" t="str">
        <f>IF(OR(C48="",D48="",E48=""),"","SKU-"&amp;UPPER(LEFT(C48,1)&amp;IF(ISNUMBER(FIND(" ",C48)),MID(C48,FIND(" ",C48)+1,1),""))&amp;TEXT(D48,"00")&amp;IFERROR(VLOOKUP(E48,Cores!$A:$B,2,0),"??"))</f>
        <v/>
      </c>
      <c r="C48" s="16"/>
      <c r="D48" s="9"/>
      <c r="E48" s="16"/>
      <c r="F48" s="17"/>
      <c r="G48" s="15"/>
      <c r="H48" s="15"/>
    </row>
    <row r="49" ht="15.75" customHeight="1">
      <c r="B49" s="9" t="str">
        <f>IF(OR(C49="",D49="",E49=""),"","SKU-"&amp;UPPER(LEFT(C49,1)&amp;IF(ISNUMBER(FIND(" ",C49)),MID(C49,FIND(" ",C49)+1,1),""))&amp;TEXT(D49,"00")&amp;IFERROR(VLOOKUP(E49,Cores!$A:$B,2,0),"??"))</f>
        <v/>
      </c>
      <c r="C49" s="16"/>
      <c r="D49" s="9"/>
      <c r="E49" s="16"/>
      <c r="F49" s="17"/>
      <c r="G49" s="15"/>
      <c r="H49" s="15"/>
    </row>
    <row r="50" ht="15.75" customHeight="1">
      <c r="B50" s="9" t="str">
        <f>IF(OR(C50="",D50="",E50=""),"","SKU-"&amp;UPPER(LEFT(C50,1)&amp;IF(ISNUMBER(FIND(" ",C50)),MID(C50,FIND(" ",C50)+1,1),""))&amp;TEXT(D50,"00")&amp;IFERROR(VLOOKUP(E50,Cores!$A:$B,2,0),"??"))</f>
        <v/>
      </c>
      <c r="C50" s="16"/>
      <c r="D50" s="9"/>
      <c r="E50" s="16"/>
      <c r="F50" s="17"/>
      <c r="G50" s="15"/>
      <c r="H50" s="15"/>
    </row>
    <row r="51" ht="15.75" customHeight="1">
      <c r="B51" s="9" t="str">
        <f>IF(OR(C51="",D51="",E51=""),"","SKU-"&amp;UPPER(LEFT(C51,1)&amp;IF(ISNUMBER(FIND(" ",C51)),MID(C51,FIND(" ",C51)+1,1),""))&amp;TEXT(D51,"00")&amp;IFERROR(VLOOKUP(E51,Cores!$A:$B,2,0),"??"))</f>
        <v/>
      </c>
      <c r="C51" s="16"/>
      <c r="D51" s="9"/>
      <c r="E51" s="16"/>
      <c r="F51" s="17"/>
      <c r="G51" s="15"/>
      <c r="H51" s="15"/>
    </row>
    <row r="52" ht="15.75" customHeight="1">
      <c r="B52" s="9" t="str">
        <f>IF(OR(C52="",D52="",E52=""),"","SKU-"&amp;UPPER(LEFT(C52,1)&amp;IF(ISNUMBER(FIND(" ",C52)),MID(C52,FIND(" ",C52)+1,1),""))&amp;TEXT(D52,"00")&amp;IFERROR(VLOOKUP(E52,Cores!$A:$B,2,0),"??"))</f>
        <v/>
      </c>
      <c r="C52" s="16"/>
      <c r="D52" s="9"/>
      <c r="E52" s="16"/>
      <c r="F52" s="17"/>
      <c r="G52" s="15"/>
      <c r="H52" s="15"/>
    </row>
    <row r="53" ht="15.75" customHeight="1">
      <c r="B53" s="9" t="str">
        <f>IF(OR(C53="",D53="",E53=""),"","SKU-"&amp;UPPER(LEFT(C53,1)&amp;IF(ISNUMBER(FIND(" ",C53)),MID(C53,FIND(" ",C53)+1,1),""))&amp;TEXT(D53,"00")&amp;IFERROR(VLOOKUP(E53,Cores!$A:$B,2,0),"??"))</f>
        <v/>
      </c>
      <c r="C53" s="16"/>
      <c r="D53" s="9"/>
      <c r="E53" s="16"/>
      <c r="F53" s="17"/>
      <c r="G53" s="15"/>
      <c r="H53" s="15"/>
    </row>
    <row r="54" ht="15.75" customHeight="1">
      <c r="B54" s="9" t="str">
        <f>IF(OR(C54="",D54="",E54=""),"","SKU-"&amp;UPPER(LEFT(C54,1)&amp;IF(ISNUMBER(FIND(" ",C54)),MID(C54,FIND(" ",C54)+1,1),""))&amp;TEXT(D54,"00")&amp;IFERROR(VLOOKUP(E54,Cores!$A:$B,2,0),"??"))</f>
        <v/>
      </c>
      <c r="C54" s="16"/>
      <c r="D54" s="9"/>
      <c r="E54" s="16"/>
      <c r="F54" s="17"/>
      <c r="G54" s="15"/>
      <c r="H54" s="15"/>
    </row>
    <row r="55" ht="15.75" customHeight="1">
      <c r="B55" s="9" t="str">
        <f>IF(OR(C55="",D55="",E55=""),"","SKU-"&amp;UPPER(LEFT(C55,1)&amp;IF(ISNUMBER(FIND(" ",C55)),MID(C55,FIND(" ",C55)+1,1),""))&amp;TEXT(D55,"00")&amp;IFERROR(VLOOKUP(E55,Cores!$A:$B,2,0),"??"))</f>
        <v/>
      </c>
      <c r="C55" s="16"/>
      <c r="D55" s="9"/>
      <c r="E55" s="16"/>
      <c r="F55" s="17"/>
      <c r="G55" s="15"/>
      <c r="H55" s="15"/>
    </row>
    <row r="56" ht="15.75" customHeight="1">
      <c r="B56" s="9" t="str">
        <f>IF(OR(C56="",D56="",E56=""),"","SKU-"&amp;UPPER(LEFT(C56,1)&amp;IF(ISNUMBER(FIND(" ",C56)),MID(C56,FIND(" ",C56)+1,1),""))&amp;TEXT(D56,"00")&amp;IFERROR(VLOOKUP(E56,Cores!$A:$B,2,0),"??"))</f>
        <v/>
      </c>
      <c r="C56" s="16"/>
      <c r="D56" s="9"/>
      <c r="E56" s="16"/>
      <c r="F56" s="17"/>
      <c r="G56" s="15"/>
      <c r="H56" s="15"/>
    </row>
    <row r="57" ht="15.75" customHeight="1">
      <c r="B57" s="9" t="str">
        <f>IF(OR(C57="",D57="",E57=""),"","SKU-"&amp;UPPER(LEFT(C57,1)&amp;IF(ISNUMBER(FIND(" ",C57)),MID(C57,FIND(" ",C57)+1,1),""))&amp;TEXT(D57,"00")&amp;IFERROR(VLOOKUP(E57,Cores!$A:$B,2,0),"??"))</f>
        <v/>
      </c>
      <c r="C57" s="16"/>
      <c r="D57" s="9"/>
      <c r="E57" s="16"/>
      <c r="F57" s="17"/>
      <c r="G57" s="15"/>
      <c r="H57" s="15"/>
    </row>
    <row r="58" ht="15.75" customHeight="1">
      <c r="B58" s="9" t="str">
        <f>IF(OR(C58="",D58="",E58=""),"","SKU-"&amp;UPPER(LEFT(C58,1)&amp;IF(ISNUMBER(FIND(" ",C58)),MID(C58,FIND(" ",C58)+1,1),""))&amp;TEXT(D58,"00")&amp;IFERROR(VLOOKUP(E58,Cores!$A:$B,2,0),"??"))</f>
        <v/>
      </c>
      <c r="C58" s="16"/>
      <c r="D58" s="9"/>
      <c r="E58" s="16"/>
      <c r="F58" s="17"/>
      <c r="G58" s="15"/>
      <c r="H58" s="15"/>
    </row>
    <row r="59" ht="15.75" customHeight="1">
      <c r="B59" s="9" t="str">
        <f>IF(OR(C59="",D59="",E59=""),"","SKU-"&amp;UPPER(LEFT(C59,1)&amp;IF(ISNUMBER(FIND(" ",C59)),MID(C59,FIND(" ",C59)+1,1),""))&amp;TEXT(D59,"00")&amp;IFERROR(VLOOKUP(E59,Cores!$A:$B,2,0),"??"))</f>
        <v/>
      </c>
      <c r="C59" s="16"/>
      <c r="D59" s="9"/>
      <c r="E59" s="16"/>
      <c r="F59" s="17"/>
      <c r="G59" s="15"/>
      <c r="H59" s="15"/>
    </row>
    <row r="60" ht="15.75" customHeight="1">
      <c r="B60" s="9" t="str">
        <f>IF(OR(C60="",D60="",E60=""),"","SKU-"&amp;UPPER(LEFT(C60,1)&amp;IF(ISNUMBER(FIND(" ",C60)),MID(C60,FIND(" ",C60)+1,1),""))&amp;TEXT(D60,"00")&amp;IFERROR(VLOOKUP(E60,Cores!$A:$B,2,0),"??"))</f>
        <v/>
      </c>
      <c r="C60" s="16"/>
      <c r="D60" s="9"/>
      <c r="E60" s="16"/>
      <c r="F60" s="17"/>
      <c r="G60" s="15"/>
      <c r="H60" s="15"/>
    </row>
    <row r="61" ht="15.75" customHeight="1">
      <c r="B61" s="9" t="str">
        <f>IF(OR(C61="",D61="",E61=""),"","SKU-"&amp;UPPER(LEFT(C61,1)&amp;IF(ISNUMBER(FIND(" ",C61)),MID(C61,FIND(" ",C61)+1,1),""))&amp;TEXT(D61,"00")&amp;IFERROR(VLOOKUP(E61,Cores!$A:$B,2,0),"??"))</f>
        <v/>
      </c>
      <c r="C61" s="16"/>
      <c r="D61" s="9"/>
      <c r="E61" s="16"/>
      <c r="F61" s="17"/>
      <c r="G61" s="15"/>
      <c r="H61" s="15"/>
    </row>
    <row r="62" ht="15.75" customHeight="1">
      <c r="B62" s="9" t="str">
        <f>IF(OR(C62="",D62="",E62=""),"","SKU-"&amp;UPPER(LEFT(C62,1)&amp;IF(ISNUMBER(FIND(" ",C62)),MID(C62,FIND(" ",C62)+1,1),""))&amp;TEXT(D62,"00")&amp;IFERROR(VLOOKUP(E62,Cores!$A:$B,2,0),"??"))</f>
        <v/>
      </c>
      <c r="C62" s="16"/>
      <c r="D62" s="9"/>
      <c r="E62" s="16"/>
      <c r="F62" s="17"/>
      <c r="G62" s="15"/>
      <c r="H62" s="15"/>
    </row>
    <row r="63" ht="15.75" customHeight="1">
      <c r="B63" s="9" t="str">
        <f>IF(OR(C63="",D63="",E63=""),"","SKU-"&amp;UPPER(LEFT(C63,1)&amp;IF(ISNUMBER(FIND(" ",C63)),MID(C63,FIND(" ",C63)+1,1),""))&amp;TEXT(D63,"00")&amp;IFERROR(VLOOKUP(E63,Cores!$A:$B,2,0),"??"))</f>
        <v/>
      </c>
      <c r="C63" s="16"/>
      <c r="D63" s="9"/>
      <c r="E63" s="16"/>
      <c r="F63" s="17"/>
      <c r="G63" s="15"/>
      <c r="H63" s="15"/>
    </row>
    <row r="64" ht="15.75" customHeight="1">
      <c r="B64" s="9" t="str">
        <f>IF(OR(C64="",D64="",E64=""),"","SKU-"&amp;UPPER(LEFT(C64,1)&amp;IF(ISNUMBER(FIND(" ",C64)),MID(C64,FIND(" ",C64)+1,1),""))&amp;TEXT(D64,"00")&amp;IFERROR(VLOOKUP(E64,Cores!$A:$B,2,0),"??"))</f>
        <v/>
      </c>
      <c r="C64" s="16"/>
      <c r="D64" s="9"/>
      <c r="E64" s="16"/>
      <c r="F64" s="17"/>
      <c r="G64" s="15"/>
      <c r="H64" s="15"/>
    </row>
    <row r="65" ht="15.75" customHeight="1">
      <c r="B65" s="9" t="str">
        <f>IF(OR(C65="",D65="",E65=""),"","SKU-"&amp;UPPER(LEFT(C65,1)&amp;IF(ISNUMBER(FIND(" ",C65)),MID(C65,FIND(" ",C65)+1,1),""))&amp;TEXT(D65,"00")&amp;IFERROR(VLOOKUP(E65,Cores!$A:$B,2,0),"??"))</f>
        <v/>
      </c>
      <c r="C65" s="16"/>
      <c r="D65" s="9"/>
      <c r="E65" s="16"/>
      <c r="F65" s="17"/>
      <c r="G65" s="15"/>
      <c r="H65" s="15"/>
    </row>
    <row r="66" ht="15.75" customHeight="1">
      <c r="B66" s="9" t="str">
        <f>IF(OR(C66="",D66="",E66=""),"","SKU-"&amp;UPPER(LEFT(C66,1)&amp;IF(ISNUMBER(FIND(" ",C66)),MID(C66,FIND(" ",C66)+1,1),""))&amp;TEXT(D66,"00")&amp;IFERROR(VLOOKUP(E66,Cores!$A:$B,2,0),"??"))</f>
        <v/>
      </c>
      <c r="C66" s="16"/>
      <c r="D66" s="9"/>
      <c r="E66" s="16"/>
      <c r="F66" s="17"/>
      <c r="G66" s="15"/>
      <c r="H66" s="15"/>
    </row>
    <row r="67" ht="15.75" customHeight="1">
      <c r="B67" s="9" t="str">
        <f>IF(OR(C67="",D67="",E67=""),"","SKU-"&amp;UPPER(LEFT(C67,1)&amp;IF(ISNUMBER(FIND(" ",C67)),MID(C67,FIND(" ",C67)+1,1),""))&amp;TEXT(D67,"00")&amp;IFERROR(VLOOKUP(E67,Cores!$A:$B,2,0),"??"))</f>
        <v/>
      </c>
      <c r="C67" s="16"/>
      <c r="D67" s="9"/>
      <c r="E67" s="16"/>
      <c r="F67" s="17"/>
      <c r="G67" s="15"/>
      <c r="H67" s="15"/>
    </row>
    <row r="68" ht="15.75" customHeight="1">
      <c r="B68" s="9" t="str">
        <f>IF(OR(C68="",D68="",E68=""),"","SKU-"&amp;UPPER(LEFT(C68,1)&amp;IF(ISNUMBER(FIND(" ",C68)),MID(C68,FIND(" ",C68)+1,1),""))&amp;TEXT(D68,"00")&amp;IFERROR(VLOOKUP(E68,Cores!$A:$B,2,0),"??"))</f>
        <v/>
      </c>
      <c r="C68" s="16"/>
      <c r="D68" s="9"/>
      <c r="E68" s="16"/>
      <c r="F68" s="17"/>
      <c r="G68" s="15"/>
      <c r="H68" s="15"/>
    </row>
    <row r="69" ht="15.75" customHeight="1">
      <c r="B69" s="9" t="str">
        <f>IF(OR(C69="",D69="",E69=""),"","SKU-"&amp;UPPER(LEFT(C69,1)&amp;IF(ISNUMBER(FIND(" ",C69)),MID(C69,FIND(" ",C69)+1,1),""))&amp;TEXT(D69,"00")&amp;IFERROR(VLOOKUP(E69,Cores!$A:$B,2,0),"??"))</f>
        <v/>
      </c>
      <c r="C69" s="16"/>
      <c r="D69" s="9"/>
      <c r="E69" s="16"/>
      <c r="F69" s="17"/>
      <c r="G69" s="15"/>
      <c r="H69" s="15"/>
    </row>
    <row r="70" ht="15.75" customHeight="1">
      <c r="B70" s="9" t="str">
        <f>IF(OR(C70="",D70="",E70=""),"","SKU-"&amp;UPPER(LEFT(C70,1)&amp;IF(ISNUMBER(FIND(" ",C70)),MID(C70,FIND(" ",C70)+1,1),""))&amp;TEXT(D70,"00")&amp;IFERROR(VLOOKUP(E70,Cores!$A:$B,2,0),"??"))</f>
        <v/>
      </c>
      <c r="C70" s="16"/>
      <c r="D70" s="9"/>
      <c r="E70" s="16"/>
      <c r="F70" s="17"/>
      <c r="G70" s="15"/>
      <c r="H70" s="15"/>
    </row>
    <row r="71" ht="15.75" customHeight="1">
      <c r="B71" s="9" t="str">
        <f>IF(OR(C71="",D71="",E71=""),"","SKU-"&amp;UPPER(LEFT(C71,1)&amp;IF(ISNUMBER(FIND(" ",C71)),MID(C71,FIND(" ",C71)+1,1),""))&amp;TEXT(D71,"00")&amp;IFERROR(VLOOKUP(E71,Cores!$A:$B,2,0),"??"))</f>
        <v/>
      </c>
      <c r="C71" s="16"/>
      <c r="D71" s="9"/>
      <c r="E71" s="16"/>
      <c r="F71" s="17"/>
      <c r="G71" s="15"/>
      <c r="H71" s="15"/>
    </row>
    <row r="72" ht="15.75" customHeight="1">
      <c r="B72" s="9" t="str">
        <f>IF(OR(C72="",D72="",E72=""),"","SKU-"&amp;UPPER(LEFT(C72,1)&amp;IF(ISNUMBER(FIND(" ",C72)),MID(C72,FIND(" ",C72)+1,1),""))&amp;TEXT(D72,"00")&amp;IFERROR(VLOOKUP(E72,Cores!$A:$B,2,0),"??"))</f>
        <v/>
      </c>
      <c r="C72" s="16"/>
      <c r="D72" s="9"/>
      <c r="E72" s="16"/>
      <c r="F72" s="17"/>
      <c r="G72" s="15"/>
      <c r="H72" s="15"/>
    </row>
    <row r="73" ht="15.75" customHeight="1">
      <c r="B73" s="9" t="str">
        <f>IF(OR(C73="",D73="",E73=""),"","SKU-"&amp;UPPER(LEFT(C73,1)&amp;IF(ISNUMBER(FIND(" ",C73)),MID(C73,FIND(" ",C73)+1,1),""))&amp;TEXT(D73,"00")&amp;IFERROR(VLOOKUP(E73,Cores!$A:$B,2,0),"??"))</f>
        <v/>
      </c>
      <c r="C73" s="16"/>
      <c r="D73" s="9"/>
      <c r="E73" s="16"/>
      <c r="F73" s="17"/>
      <c r="G73" s="15"/>
      <c r="H73" s="15"/>
    </row>
    <row r="74" ht="15.75" customHeight="1">
      <c r="B74" s="9" t="str">
        <f>IF(OR(C74="",D74="",E74=""),"","SKU-"&amp;UPPER(LEFT(C74,1)&amp;IF(ISNUMBER(FIND(" ",C74)),MID(C74,FIND(" ",C74)+1,1),""))&amp;TEXT(D74,"00")&amp;IFERROR(VLOOKUP(E74,Cores!$A:$B,2,0),"??"))</f>
        <v/>
      </c>
      <c r="C74" s="16"/>
      <c r="D74" s="9"/>
      <c r="E74" s="16"/>
      <c r="F74" s="17"/>
      <c r="G74" s="15"/>
      <c r="H74" s="15"/>
    </row>
    <row r="75" ht="15.75" customHeight="1">
      <c r="B75" s="9" t="str">
        <f>IF(OR(C75="",D75="",E75=""),"","SKU-"&amp;UPPER(LEFT(C75,1)&amp;IF(ISNUMBER(FIND(" ",C75)),MID(C75,FIND(" ",C75)+1,1),""))&amp;TEXT(D75,"00")&amp;IFERROR(VLOOKUP(E75,Cores!$A:$B,2,0),"??"))</f>
        <v/>
      </c>
      <c r="C75" s="16"/>
      <c r="D75" s="9"/>
      <c r="E75" s="16"/>
      <c r="F75" s="17"/>
      <c r="G75" s="15"/>
      <c r="H75" s="15"/>
    </row>
    <row r="76" ht="15.75" customHeight="1">
      <c r="B76" s="9" t="str">
        <f>IF(OR(C76="",D76="",E76=""),"","SKU-"&amp;UPPER(LEFT(C76,1)&amp;IF(ISNUMBER(FIND(" ",C76)),MID(C76,FIND(" ",C76)+1,1),""))&amp;TEXT(D76,"00")&amp;IFERROR(VLOOKUP(E76,Cores!$A:$B,2,0),"??"))</f>
        <v/>
      </c>
      <c r="C76" s="16"/>
      <c r="D76" s="9"/>
      <c r="E76" s="16"/>
      <c r="F76" s="17"/>
      <c r="G76" s="15"/>
      <c r="H76" s="15"/>
    </row>
    <row r="77" ht="15.75" customHeight="1">
      <c r="B77" s="9" t="str">
        <f>IF(OR(C77="",D77="",E77=""),"","SKU-"&amp;UPPER(LEFT(C77,1)&amp;IF(ISNUMBER(FIND(" ",C77)),MID(C77,FIND(" ",C77)+1,1),""))&amp;TEXT(D77,"00")&amp;IFERROR(VLOOKUP(E77,Cores!$A:$B,2,0),"??"))</f>
        <v/>
      </c>
      <c r="C77" s="16"/>
      <c r="D77" s="9"/>
      <c r="E77" s="16"/>
      <c r="F77" s="17"/>
      <c r="G77" s="15"/>
      <c r="H77" s="15"/>
    </row>
    <row r="78" ht="15.75" customHeight="1">
      <c r="B78" s="9" t="str">
        <f>IF(OR(C78="",D78="",E78=""),"","SKU-"&amp;UPPER(LEFT(C78,1)&amp;IF(ISNUMBER(FIND(" ",C78)),MID(C78,FIND(" ",C78)+1,1),""))&amp;TEXT(D78,"00")&amp;IFERROR(VLOOKUP(E78,Cores!$A:$B,2,0),"??"))</f>
        <v/>
      </c>
      <c r="C78" s="16"/>
      <c r="D78" s="9"/>
      <c r="E78" s="16"/>
      <c r="F78" s="17"/>
      <c r="G78" s="15"/>
      <c r="H78" s="15"/>
    </row>
    <row r="79" ht="15.75" customHeight="1">
      <c r="B79" s="9" t="str">
        <f>IF(OR(C79="",D79="",E79=""),"","SKU-"&amp;UPPER(LEFT(C79,1)&amp;IF(ISNUMBER(FIND(" ",C79)),MID(C79,FIND(" ",C79)+1,1),""))&amp;TEXT(D79,"00")&amp;IFERROR(VLOOKUP(E79,Cores!$A:$B,2,0),"??"))</f>
        <v/>
      </c>
      <c r="C79" s="16"/>
      <c r="D79" s="9"/>
      <c r="E79" s="16"/>
      <c r="F79" s="17"/>
      <c r="G79" s="15"/>
      <c r="H79" s="15"/>
    </row>
    <row r="80" ht="15.75" customHeight="1">
      <c r="B80" s="9" t="str">
        <f>IF(OR(C80="",D80="",E80=""),"","SKU-"&amp;UPPER(LEFT(C80,1)&amp;IF(ISNUMBER(FIND(" ",C80)),MID(C80,FIND(" ",C80)+1,1),""))&amp;TEXT(D80,"00")&amp;IFERROR(VLOOKUP(E80,Cores!$A:$B,2,0),"??"))</f>
        <v/>
      </c>
      <c r="C80" s="16"/>
      <c r="D80" s="9"/>
      <c r="E80" s="16"/>
      <c r="F80" s="17"/>
      <c r="G80" s="15"/>
      <c r="H80" s="15"/>
    </row>
    <row r="81" ht="15.75" customHeight="1">
      <c r="B81" s="9" t="str">
        <f>IF(OR(C81="",D81="",E81=""),"","SKU-"&amp;UPPER(LEFT(C81,1)&amp;IF(ISNUMBER(FIND(" ",C81)),MID(C81,FIND(" ",C81)+1,1),""))&amp;TEXT(D81,"00")&amp;IFERROR(VLOOKUP(E81,Cores!$A:$B,2,0),"??"))</f>
        <v/>
      </c>
      <c r="C81" s="16"/>
      <c r="D81" s="9"/>
      <c r="E81" s="16"/>
      <c r="F81" s="17"/>
      <c r="G81" s="15"/>
      <c r="H81" s="15"/>
    </row>
    <row r="82" ht="15.75" customHeight="1">
      <c r="B82" s="9" t="str">
        <f>IF(OR(C82="",D82="",E82=""),"","SKU-"&amp;UPPER(LEFT(C82,1)&amp;IF(ISNUMBER(FIND(" ",C82)),MID(C82,FIND(" ",C82)+1,1),""))&amp;TEXT(D82,"00")&amp;IFERROR(VLOOKUP(E82,Cores!$A:$B,2,0),"??"))</f>
        <v/>
      </c>
      <c r="C82" s="16"/>
      <c r="D82" s="9"/>
      <c r="E82" s="16"/>
      <c r="F82" s="17"/>
      <c r="G82" s="15"/>
      <c r="H82" s="15"/>
    </row>
    <row r="83" ht="15.75" customHeight="1">
      <c r="B83" s="9" t="str">
        <f>IF(OR(C83="",D83="",E83=""),"","SKU-"&amp;UPPER(LEFT(C83,1)&amp;IF(ISNUMBER(FIND(" ",C83)),MID(C83,FIND(" ",C83)+1,1),""))&amp;TEXT(D83,"00")&amp;IFERROR(VLOOKUP(E83,Cores!$A:$B,2,0),"??"))</f>
        <v/>
      </c>
      <c r="C83" s="16"/>
      <c r="D83" s="9"/>
      <c r="E83" s="16"/>
      <c r="F83" s="17"/>
      <c r="G83" s="15"/>
      <c r="H83" s="15"/>
    </row>
    <row r="84" ht="15.75" customHeight="1">
      <c r="B84" s="9" t="str">
        <f>IF(OR(C84="",D84="",E84=""),"","SKU-"&amp;UPPER(LEFT(C84,1)&amp;IF(ISNUMBER(FIND(" ",C84)),MID(C84,FIND(" ",C84)+1,1),""))&amp;TEXT(D84,"00")&amp;IFERROR(VLOOKUP(E84,Cores!$A:$B,2,0),"??"))</f>
        <v/>
      </c>
      <c r="C84" s="16"/>
      <c r="D84" s="9"/>
      <c r="E84" s="16"/>
      <c r="F84" s="17"/>
      <c r="G84" s="15"/>
      <c r="H84" s="15"/>
    </row>
    <row r="85" ht="15.75" customHeight="1">
      <c r="B85" s="9" t="str">
        <f>IF(OR(C85="",D85="",E85=""),"","SKU-"&amp;UPPER(LEFT(C85,1)&amp;IF(ISNUMBER(FIND(" ",C85)),MID(C85,FIND(" ",C85)+1,1),""))&amp;TEXT(D85,"00")&amp;IFERROR(VLOOKUP(E85,Cores!$A:$B,2,0),"??"))</f>
        <v/>
      </c>
      <c r="C85" s="16"/>
      <c r="D85" s="9"/>
      <c r="E85" s="16"/>
      <c r="F85" s="17"/>
      <c r="G85" s="15"/>
      <c r="H85" s="15"/>
    </row>
    <row r="86" ht="15.75" customHeight="1">
      <c r="B86" s="9" t="str">
        <f>IF(OR(C86="",D86="",E86=""),"","SKU-"&amp;UPPER(LEFT(C86,1)&amp;IF(ISNUMBER(FIND(" ",C86)),MID(C86,FIND(" ",C86)+1,1),""))&amp;TEXT(D86,"00")&amp;IFERROR(VLOOKUP(E86,Cores!$A:$B,2,0),"??"))</f>
        <v/>
      </c>
      <c r="C86" s="16"/>
      <c r="D86" s="9"/>
      <c r="E86" s="16"/>
      <c r="F86" s="17"/>
      <c r="G86" s="15"/>
      <c r="H86" s="15"/>
    </row>
    <row r="87" ht="15.75" customHeight="1">
      <c r="B87" s="9" t="str">
        <f>IF(OR(C87="",D87="",E87=""),"","SKU-"&amp;UPPER(LEFT(C87,1)&amp;IF(ISNUMBER(FIND(" ",C87)),MID(C87,FIND(" ",C87)+1,1),""))&amp;TEXT(D87,"00")&amp;IFERROR(VLOOKUP(E87,Cores!$A:$B,2,0),"??"))</f>
        <v/>
      </c>
      <c r="C87" s="16"/>
      <c r="D87" s="9"/>
      <c r="E87" s="16"/>
      <c r="F87" s="17"/>
      <c r="G87" s="15"/>
      <c r="H87" s="15"/>
    </row>
    <row r="88" ht="15.75" customHeight="1">
      <c r="B88" s="9" t="str">
        <f>IF(OR(C88="",D88="",E88=""),"","SKU-"&amp;UPPER(LEFT(C88,1)&amp;IF(ISNUMBER(FIND(" ",C88)),MID(C88,FIND(" ",C88)+1,1),""))&amp;TEXT(D88,"00")&amp;IFERROR(VLOOKUP(E88,Cores!$A:$B,2,0),"??"))</f>
        <v/>
      </c>
      <c r="C88" s="16"/>
      <c r="D88" s="9"/>
      <c r="E88" s="16"/>
      <c r="F88" s="17"/>
      <c r="G88" s="15"/>
      <c r="H88" s="15"/>
    </row>
    <row r="89" ht="15.75" customHeight="1">
      <c r="B89" s="9" t="str">
        <f>IF(OR(C89="",D89="",E89=""),"","SKU-"&amp;UPPER(LEFT(C89,1)&amp;IF(ISNUMBER(FIND(" ",C89)),MID(C89,FIND(" ",C89)+1,1),""))&amp;TEXT(D89,"00")&amp;IFERROR(VLOOKUP(E89,Cores!$A:$B,2,0),"??"))</f>
        <v/>
      </c>
      <c r="C89" s="16"/>
      <c r="D89" s="9"/>
      <c r="E89" s="16"/>
      <c r="F89" s="17"/>
      <c r="G89" s="15"/>
      <c r="H89" s="15"/>
    </row>
    <row r="90" ht="15.75" customHeight="1">
      <c r="B90" s="9" t="str">
        <f>IF(OR(C90="",D90="",E90=""),"","SKU-"&amp;UPPER(LEFT(C90,1)&amp;IF(ISNUMBER(FIND(" ",C90)),MID(C90,FIND(" ",C90)+1,1),""))&amp;TEXT(D90,"00")&amp;IFERROR(VLOOKUP(E90,Cores!$A:$B,2,0),"??"))</f>
        <v/>
      </c>
      <c r="C90" s="16"/>
      <c r="D90" s="9"/>
      <c r="E90" s="16"/>
      <c r="F90" s="17"/>
      <c r="G90" s="15"/>
      <c r="H90" s="15"/>
    </row>
    <row r="91" ht="15.75" customHeight="1">
      <c r="B91" s="9" t="str">
        <f>IF(OR(C91="",D91="",E91=""),"","SKU-"&amp;UPPER(LEFT(C91,1)&amp;IF(ISNUMBER(FIND(" ",C91)),MID(C91,FIND(" ",C91)+1,1),""))&amp;TEXT(D91,"00")&amp;IFERROR(VLOOKUP(E91,Cores!$A:$B,2,0),"??"))</f>
        <v/>
      </c>
      <c r="C91" s="16"/>
      <c r="D91" s="9"/>
      <c r="E91" s="16"/>
      <c r="F91" s="17"/>
      <c r="G91" s="15"/>
      <c r="H91" s="15"/>
    </row>
    <row r="92" ht="15.75" customHeight="1">
      <c r="B92" s="9" t="str">
        <f>IF(OR(C92="",D92="",E92=""),"","SKU-"&amp;UPPER(LEFT(C92,1)&amp;IF(ISNUMBER(FIND(" ",C92)),MID(C92,FIND(" ",C92)+1,1),""))&amp;TEXT(D92,"00")&amp;IFERROR(VLOOKUP(E92,Cores!$A:$B,2,0),"??"))</f>
        <v/>
      </c>
      <c r="C92" s="16"/>
      <c r="D92" s="9"/>
      <c r="E92" s="16"/>
      <c r="F92" s="17"/>
      <c r="G92" s="15"/>
      <c r="H92" s="15"/>
    </row>
    <row r="93" ht="15.75" customHeight="1">
      <c r="B93" s="9" t="str">
        <f>IF(OR(C93="",D93="",E93=""),"","SKU-"&amp;UPPER(LEFT(C93,1)&amp;IF(ISNUMBER(FIND(" ",C93)),MID(C93,FIND(" ",C93)+1,1),""))&amp;TEXT(D93,"00")&amp;IFERROR(VLOOKUP(E93,Cores!$A:$B,2,0),"??"))</f>
        <v/>
      </c>
      <c r="C93" s="16"/>
      <c r="D93" s="9"/>
      <c r="E93" s="16"/>
      <c r="F93" s="17"/>
      <c r="G93" s="15"/>
      <c r="H93" s="15"/>
    </row>
    <row r="94" ht="15.75" customHeight="1">
      <c r="B94" s="9" t="str">
        <f>IF(OR(C94="",D94="",E94=""),"","SKU-"&amp;UPPER(LEFT(C94,1)&amp;IF(ISNUMBER(FIND(" ",C94)),MID(C94,FIND(" ",C94)+1,1),""))&amp;TEXT(D94,"00")&amp;IFERROR(VLOOKUP(E94,Cores!$A:$B,2,0),"??"))</f>
        <v/>
      </c>
      <c r="C94" s="16"/>
      <c r="D94" s="9"/>
      <c r="E94" s="16"/>
      <c r="F94" s="17"/>
      <c r="G94" s="15"/>
      <c r="H94" s="15"/>
    </row>
    <row r="95" ht="15.75" customHeight="1">
      <c r="B95" s="9" t="str">
        <f>IF(OR(C95="",D95="",E95=""),"","SKU-"&amp;UPPER(LEFT(C95,1)&amp;IF(ISNUMBER(FIND(" ",C95)),MID(C95,FIND(" ",C95)+1,1),""))&amp;TEXT(D95,"00")&amp;IFERROR(VLOOKUP(E95,Cores!$A:$B,2,0),"??"))</f>
        <v/>
      </c>
      <c r="C95" s="16"/>
      <c r="D95" s="9"/>
      <c r="E95" s="16"/>
      <c r="F95" s="17"/>
      <c r="G95" s="15"/>
      <c r="H95" s="15"/>
    </row>
    <row r="96" ht="15.75" customHeight="1">
      <c r="B96" s="9" t="str">
        <f>IF(OR(C96="",D96="",E96=""),"","SKU-"&amp;UPPER(LEFT(C96,1)&amp;IF(ISNUMBER(FIND(" ",C96)),MID(C96,FIND(" ",C96)+1,1),""))&amp;TEXT(D96,"00")&amp;IFERROR(VLOOKUP(E96,Cores!$A:$B,2,0),"??"))</f>
        <v/>
      </c>
      <c r="C96" s="16"/>
      <c r="D96" s="9"/>
      <c r="E96" s="16"/>
      <c r="F96" s="17"/>
      <c r="G96" s="15"/>
      <c r="H96" s="15"/>
    </row>
    <row r="97" ht="15.75" customHeight="1">
      <c r="B97" s="9" t="str">
        <f>IF(OR(C97="",D97="",E97=""),"","SKU-"&amp;UPPER(LEFT(C97,1)&amp;IF(ISNUMBER(FIND(" ",C97)),MID(C97,FIND(" ",C97)+1,1),""))&amp;TEXT(D97,"00")&amp;IFERROR(VLOOKUP(E97,Cores!$A:$B,2,0),"??"))</f>
        <v/>
      </c>
      <c r="C97" s="16"/>
      <c r="D97" s="9"/>
      <c r="E97" s="16"/>
      <c r="F97" s="17"/>
      <c r="G97" s="15"/>
      <c r="H97" s="15"/>
    </row>
    <row r="98" ht="15.75" customHeight="1">
      <c r="B98" s="9" t="str">
        <f>IF(OR(C98="",D98="",E98=""),"","SKU-"&amp;UPPER(LEFT(C98,1)&amp;IF(ISNUMBER(FIND(" ",C98)),MID(C98,FIND(" ",C98)+1,1),""))&amp;TEXT(D98,"00")&amp;IFERROR(VLOOKUP(E98,Cores!$A:$B,2,0),"??"))</f>
        <v/>
      </c>
      <c r="C98" s="16"/>
      <c r="D98" s="9"/>
      <c r="E98" s="16"/>
      <c r="F98" s="17"/>
      <c r="G98" s="15"/>
      <c r="H98" s="15"/>
    </row>
    <row r="99" ht="15.75" customHeight="1">
      <c r="B99" s="9" t="str">
        <f>IF(OR(C99="",D99="",E99=""),"","SKU-"&amp;UPPER(LEFT(C99,1)&amp;IF(ISNUMBER(FIND(" ",C99)),MID(C99,FIND(" ",C99)+1,1),""))&amp;TEXT(D99,"00")&amp;IFERROR(VLOOKUP(E99,Cores!$A:$B,2,0),"??"))</f>
        <v/>
      </c>
      <c r="C99" s="16"/>
      <c r="D99" s="9"/>
      <c r="E99" s="16"/>
      <c r="F99" s="17"/>
      <c r="G99" s="15"/>
      <c r="H99" s="15"/>
    </row>
    <row r="100" ht="15.75" customHeight="1">
      <c r="B100" s="9" t="str">
        <f>IF(OR(C100="",D100="",E100=""),"","SKU-"&amp;UPPER(LEFT(C100,1)&amp;IF(ISNUMBER(FIND(" ",C100)),MID(C100,FIND(" ",C100)+1,1),""))&amp;TEXT(D100,"00")&amp;IFERROR(VLOOKUP(E100,Cores!$A:$B,2,0),"??"))</f>
        <v/>
      </c>
      <c r="C100" s="16"/>
      <c r="D100" s="9"/>
      <c r="E100" s="16"/>
      <c r="F100" s="17"/>
      <c r="G100" s="15"/>
      <c r="H100" s="15"/>
    </row>
    <row r="101" ht="15.75" customHeight="1">
      <c r="B101" s="9" t="str">
        <f>IF(OR(C101="",D101="",E101=""),"","SKU-"&amp;UPPER(LEFT(C101,1)&amp;IF(ISNUMBER(FIND(" ",C101)),MID(C101,FIND(" ",C101)+1,1),""))&amp;TEXT(D101,"00")&amp;IFERROR(VLOOKUP(E101,Cores!$A:$B,2,0),"??"))</f>
        <v/>
      </c>
      <c r="C101" s="16"/>
      <c r="D101" s="9"/>
      <c r="E101" s="16"/>
      <c r="F101" s="17"/>
      <c r="G101" s="15"/>
      <c r="H101" s="15"/>
    </row>
    <row r="102" ht="15.75" customHeight="1">
      <c r="B102" s="9" t="str">
        <f>IF(OR(C102="",D102="",E102=""),"","SKU-"&amp;UPPER(LEFT(C102,1)&amp;IF(ISNUMBER(FIND(" ",C102)),MID(C102,FIND(" ",C102)+1,1),""))&amp;TEXT(D102,"00")&amp;IFERROR(VLOOKUP(E102,Cores!$A:$B,2,0),"??"))</f>
        <v/>
      </c>
      <c r="C102" s="16"/>
      <c r="D102" s="9"/>
      <c r="E102" s="16"/>
      <c r="F102" s="17"/>
      <c r="G102" s="15"/>
      <c r="H102" s="15"/>
    </row>
    <row r="103" ht="15.75" customHeight="1">
      <c r="B103" s="9" t="str">
        <f>IF(OR(C103="",D103="",E103=""),"","SKU-"&amp;UPPER(LEFT(C103,1)&amp;IF(ISNUMBER(FIND(" ",C103)),MID(C103,FIND(" ",C103)+1,1),""))&amp;TEXT(D103,"00")&amp;IFERROR(VLOOKUP(E103,Cores!$A:$B,2,0),"??"))</f>
        <v/>
      </c>
      <c r="C103" s="16"/>
      <c r="D103" s="9"/>
      <c r="E103" s="16"/>
      <c r="F103" s="17"/>
      <c r="G103" s="15"/>
      <c r="H103" s="15"/>
    </row>
    <row r="104" ht="15.75" customHeight="1">
      <c r="B104" s="9" t="str">
        <f>IF(OR(C104="",D104="",E104=""),"","SKU-"&amp;UPPER(LEFT(C104,1)&amp;IF(ISNUMBER(FIND(" ",C104)),MID(C104,FIND(" ",C104)+1,1),""))&amp;TEXT(D104,"00")&amp;IFERROR(VLOOKUP(E104,Cores!$A:$B,2,0),"??"))</f>
        <v/>
      </c>
      <c r="C104" s="16"/>
      <c r="D104" s="9"/>
      <c r="E104" s="16"/>
      <c r="F104" s="17"/>
      <c r="G104" s="15"/>
      <c r="H104" s="15"/>
    </row>
    <row r="105" ht="15.75" customHeight="1">
      <c r="B105" s="9" t="str">
        <f>IF(OR(C105="",D105="",E105=""),"","SKU-"&amp;UPPER(LEFT(C105,1)&amp;IF(ISNUMBER(FIND(" ",C105)),MID(C105,FIND(" ",C105)+1,1),""))&amp;TEXT(D105,"00")&amp;IFERROR(VLOOKUP(E105,Cores!$A:$B,2,0),"??"))</f>
        <v/>
      </c>
      <c r="C105" s="16"/>
      <c r="D105" s="9"/>
      <c r="E105" s="16"/>
      <c r="F105" s="17"/>
      <c r="G105" s="15"/>
      <c r="H105" s="15"/>
    </row>
    <row r="106" ht="15.75" customHeight="1">
      <c r="B106" s="9" t="str">
        <f>IF(OR(C106="",D106="",E106=""),"","SKU-"&amp;UPPER(LEFT(C106,1)&amp;IF(ISNUMBER(FIND(" ",C106)),MID(C106,FIND(" ",C106)+1,1),""))&amp;TEXT(D106,"00")&amp;IFERROR(VLOOKUP(E106,Cores!$A:$B,2,0),"??"))</f>
        <v/>
      </c>
      <c r="C106" s="16"/>
      <c r="D106" s="9"/>
      <c r="E106" s="16"/>
      <c r="F106" s="17"/>
      <c r="G106" s="15"/>
      <c r="H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2:H2"/>
    <mergeCell ref="B3:H3"/>
  </mergeCells>
  <dataValidations>
    <dataValidation type="list" allowBlank="1" sqref="E6:E106">
      <formula1>Cores!$A$2:$A$30</formula1>
    </dataValidation>
    <dataValidation type="decimal" allowBlank="1" sqref="D6:D106">
      <formula1>1.0</formula1>
      <formula2>99.0</formula2>
    </dataValidation>
    <dataValidation type="decimal" operator="greaterThanOrEqual" allowBlank="1" sqref="G6:H15 H16 G17:H106">
      <formula1>0.0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2.29"/>
    <col customWidth="1" min="3" max="3" width="23.29"/>
    <col customWidth="1" min="4" max="4" width="25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26" width="8.71"/>
  </cols>
  <sheetData>
    <row r="1">
      <c r="A1" s="18" t="s">
        <v>29</v>
      </c>
      <c r="B1" s="18" t="s">
        <v>30</v>
      </c>
    </row>
    <row r="2">
      <c r="A2" s="16" t="s">
        <v>17</v>
      </c>
      <c r="B2" s="9" t="s">
        <v>31</v>
      </c>
    </row>
    <row r="3">
      <c r="A3" s="16" t="s">
        <v>15</v>
      </c>
      <c r="B3" s="9" t="s">
        <v>32</v>
      </c>
    </row>
    <row r="4">
      <c r="A4" s="16" t="s">
        <v>24</v>
      </c>
      <c r="B4" s="9" t="s">
        <v>33</v>
      </c>
    </row>
    <row r="5">
      <c r="A5" s="16" t="s">
        <v>34</v>
      </c>
      <c r="B5" s="9" t="s">
        <v>35</v>
      </c>
    </row>
    <row r="6">
      <c r="A6" s="16" t="s">
        <v>21</v>
      </c>
      <c r="B6" s="9" t="s">
        <v>36</v>
      </c>
    </row>
    <row r="7">
      <c r="A7" s="16" t="s">
        <v>19</v>
      </c>
      <c r="B7" s="9" t="s">
        <v>37</v>
      </c>
    </row>
    <row r="8">
      <c r="A8" s="16" t="s">
        <v>38</v>
      </c>
      <c r="B8" s="9" t="s">
        <v>39</v>
      </c>
    </row>
    <row r="9">
      <c r="A9" s="16" t="s">
        <v>40</v>
      </c>
      <c r="B9" s="9" t="s">
        <v>41</v>
      </c>
    </row>
    <row r="10">
      <c r="A10" s="16" t="s">
        <v>42</v>
      </c>
      <c r="B10" s="9" t="s">
        <v>43</v>
      </c>
    </row>
    <row r="11">
      <c r="A11" s="16" t="s">
        <v>44</v>
      </c>
      <c r="B11" s="9" t="s">
        <v>45</v>
      </c>
    </row>
    <row r="12">
      <c r="A12" s="16" t="s">
        <v>26</v>
      </c>
      <c r="B12" s="9" t="s">
        <v>46</v>
      </c>
    </row>
    <row r="13">
      <c r="A13" s="16" t="s">
        <v>47</v>
      </c>
      <c r="B13" s="9" t="s">
        <v>48</v>
      </c>
    </row>
    <row r="14">
      <c r="A14" s="16" t="s">
        <v>49</v>
      </c>
      <c r="B14" s="9" t="s">
        <v>50</v>
      </c>
    </row>
    <row r="15">
      <c r="A15" s="16" t="s">
        <v>51</v>
      </c>
      <c r="B15" s="9" t="s">
        <v>52</v>
      </c>
    </row>
    <row r="16">
      <c r="A16" s="16" t="s">
        <v>53</v>
      </c>
      <c r="B16" s="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